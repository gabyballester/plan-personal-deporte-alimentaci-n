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bs\Dropbox\Sólo Mío\Deporte y Alimentación\Herbalife\"/>
    </mc:Choice>
  </mc:AlternateContent>
  <xr:revisionPtr revIDLastSave="0" documentId="8_{92DE205A-F547-44AD-A7D5-8B8228AF48DA}" xr6:coauthVersionLast="45" xr6:coauthVersionMax="45" xr10:uidLastSave="{00000000-0000-0000-0000-000000000000}"/>
  <bookViews>
    <workbookView xWindow="19090" yWindow="-110" windowWidth="19420" windowHeight="10560" xr2:uid="{E1582A7A-036D-43D8-9F77-A825025FDB3F}"/>
  </bookViews>
  <sheets>
    <sheet name="Hoja1" sheetId="1" r:id="rId1"/>
  </sheets>
  <definedNames>
    <definedName name="_xlnm._FilterDatabase" localSheetId="0" hidden="1">Hoja1!$A$1:$P$24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1" l="1"/>
  <c r="G24" i="1" s="1"/>
  <c r="F12" i="1"/>
  <c r="G12" i="1" s="1"/>
  <c r="F3" i="1"/>
  <c r="G3" i="1" s="1"/>
  <c r="F4" i="1"/>
  <c r="G4" i="1" s="1"/>
  <c r="F5" i="1"/>
  <c r="G5" i="1" s="1"/>
  <c r="F11" i="1"/>
  <c r="G11" i="1" s="1"/>
  <c r="F10" i="1"/>
  <c r="G10" i="1" s="1"/>
  <c r="F9" i="1"/>
  <c r="G9" i="1" s="1"/>
  <c r="F8" i="1"/>
  <c r="G8" i="1" s="1"/>
  <c r="F7" i="1"/>
  <c r="I7" i="1" s="1"/>
  <c r="F13" i="1"/>
  <c r="G13" i="1" s="1"/>
  <c r="F6" i="1"/>
  <c r="G6" i="1" s="1"/>
  <c r="F17" i="1"/>
  <c r="G17" i="1" s="1"/>
  <c r="F2" i="1"/>
  <c r="G2" i="1" s="1"/>
  <c r="F14" i="1"/>
  <c r="G14" i="1" s="1"/>
  <c r="F16" i="1"/>
  <c r="I16" i="1" s="1"/>
  <c r="F15" i="1"/>
  <c r="I15" i="1" s="1"/>
  <c r="F23" i="1"/>
  <c r="G23" i="1" s="1"/>
  <c r="F22" i="1"/>
  <c r="I22" i="1" s="1"/>
  <c r="F21" i="1"/>
  <c r="G21" i="1" s="1"/>
  <c r="F18" i="1"/>
  <c r="I18" i="1" s="1"/>
  <c r="F20" i="1"/>
  <c r="G20" i="1" s="1"/>
  <c r="F19" i="1"/>
  <c r="G19" i="1" s="1"/>
  <c r="I24" i="1" l="1"/>
  <c r="I12" i="1"/>
  <c r="G22" i="1"/>
  <c r="I2" i="1"/>
  <c r="G7" i="1"/>
  <c r="I11" i="1"/>
  <c r="I6" i="1"/>
  <c r="I3" i="1"/>
  <c r="I4" i="1"/>
  <c r="I5" i="1"/>
  <c r="I10" i="1"/>
  <c r="I9" i="1"/>
  <c r="I8" i="1"/>
  <c r="I13" i="1"/>
  <c r="I17" i="1"/>
  <c r="I14" i="1"/>
  <c r="G16" i="1"/>
  <c r="G15" i="1"/>
  <c r="I23" i="1"/>
  <c r="I21" i="1"/>
  <c r="G18" i="1"/>
  <c r="I19" i="1"/>
  <c r="I20" i="1"/>
</calcChain>
</file>

<file path=xl/sharedStrings.xml><?xml version="1.0" encoding="utf-8"?>
<sst xmlns="http://schemas.openxmlformats.org/spreadsheetml/2006/main" count="74" uniqueCount="50">
  <si>
    <t>Orange pekoe</t>
  </si>
  <si>
    <t>Precio</t>
  </si>
  <si>
    <t>Peso (gr)</t>
  </si>
  <si>
    <t>Enlace</t>
  </si>
  <si>
    <t>Producto</t>
  </si>
  <si>
    <t>Envío €</t>
  </si>
  <si>
    <t>https://www.ebay.es/itm/250gr-Te-Negro-Naranja-Pekoe-Ceylon-Op-/362746895789?_trksid=p2385738.m4383.l4275.c10</t>
  </si>
  <si>
    <t>Coste gr</t>
  </si>
  <si>
    <t>Coste kg</t>
  </si>
  <si>
    <t>Gasto</t>
  </si>
  <si>
    <t>Te verde</t>
  </si>
  <si>
    <t>https://www.ebay.es/itm/401054727272</t>
  </si>
  <si>
    <t>https://www.ebay.es/itm/500gr-Te-Negro-Naranja-Pekoe-Ceylon-Op-/254537511507?_trksid=p2385738.m4383.l4275.c10</t>
  </si>
  <si>
    <t>Mercadona</t>
  </si>
  <si>
    <t>Hibisco</t>
  </si>
  <si>
    <t>hojas</t>
  </si>
  <si>
    <t>https://www.amazon.es/Hibisco-para-Infusi%C3%B3n-P%C3%A9talos-Enteros/dp/B07XT8P8Y7/ref=sr_1_13?__mk_es_ES=%C3%85M%C3%85%C5%BD%C3%95%C3%91&amp;dchild=1&amp;keywords=petalos+hibisco&amp;qid=1591625861&amp;sr=8-13</t>
  </si>
  <si>
    <t>sobres</t>
  </si>
  <si>
    <t>hibisco malva</t>
  </si>
  <si>
    <t>https://www.amazon.es/N%C3%BAm-1224-hierbas-Para%C3%ADso-limoncillo/dp/B071J6KPWC/ref=sr_1_49_sspa?__mk_es_ES=%C3%85M%C3%85%C5%BD%C3%95%C3%91&amp;dchild=1&amp;keywords=petalos+hibisco&amp;qid=1591625869&amp;sr=8-49-spons&amp;psc=1&amp;spLa=ZW5jcnlwdGVkUXVhbGlmaWVyPUExV0FYQzlGSVdJQllZJmVuY3J5cHRlZElkPUExMDE5MDk2VU43TVU5WUlDQzBIJmVuY3J5cHRlZEFkSWQ9QTA1NTE4NTAzMjU5R1JPRTk3SUpXJndpZGdldE5hbWU9c3BfYXRmX25leHQmYWN0aW9uPWNsaWNrUmVkaXJlY3QmZG9Ob3RMb2dDbGljaz10cnVl</t>
  </si>
  <si>
    <t>https://www.amazon.es/Hibisco-para-Infusi%C3%B3n-P%C3%A9talos-Enteros/dp/B07T4T58R6/ref=sr_1_124?__mk_es_ES=%C3%85M%C3%85%C5%BD%C3%95%C3%91&amp;dchild=1&amp;keywords=petalos+hibisco&amp;qid=1591625901&amp;sr=8-124</t>
  </si>
  <si>
    <t>Cardamomo</t>
  </si>
  <si>
    <t>polvo</t>
  </si>
  <si>
    <t>https://www.amazon.es/Cardamomo-en-Polvo-SPICESontheWEB-50g/dp/B00OBRYAMC/ref=sr_1_9?__mk_es_ES=%C3%85M%C3%85%C5%BD%C3%95%C3%91&amp;dchild=1&amp;keywords=cardamomo&amp;qid=1591627771&amp;sr=8-9&amp;th=1</t>
  </si>
  <si>
    <t>https://www.amazon.es/N%C3%BAm-1142-Est%C3%ADmulo-sueltas-mosqueta/dp/B071SKT8XF/ref=sr_1_10?__mk_es_ES=%C3%85M%C3%85%C5%BD%C3%95%C3%91&amp;dchild=1&amp;keywords=hoja%2Bmalva&amp;qid=1591628245&amp;sr=8-10&amp;th=1</t>
  </si>
  <si>
    <t>https://www.amazon.es/0-55LB-superior-TiKuanYin-Tieguanyin-adelgaza/dp/B07FPB3QPD/ref=sr_1_13?__mk_es_ES=%C3%85M%C3%85%C5%BD%C3%95%C3%91&amp;dchild=1&amp;keywords=te+chino&amp;qid=1591629891&amp;sr=8-13</t>
  </si>
  <si>
    <t>https://www.amazon.es/0-22LB-Premium-Menghai-org%C3%A1nico-%C3%A1rboles/dp/B07GCLWGBJ/ref=sr_1_28?__mk_es_ES=%C3%85M%C3%85%C5%BD%C3%95%C3%91&amp;dchild=1&amp;keywords=te+chino&amp;qid=1591629891&amp;sr=8-28</t>
  </si>
  <si>
    <t>https://www.amazon.es/Directo-f%C3%A1brica-Tieguanyin-Tikuanyin-adelgazante/dp/B07FQPCX1D/ref=sr_1_35?__mk_es_ES=%C3%85M%C3%85%C5%BD%C3%95%C3%91&amp;dchild=1&amp;keywords=te+chino&amp;qid=1591629891&amp;sr=8-35</t>
  </si>
  <si>
    <t>https://www.amazon.es/Pu-erh-cucinato-maturo-vecchi-alberi/dp/B07G722K22/ref=sr_1_8?__mk_es_ES=%C3%85M%C3%85%C5%BD%C3%95%C3%91&amp;dchild=1&amp;keywords=te+cha&amp;qid=1591629443&amp;sr=8-8</t>
  </si>
  <si>
    <t>https://www.amazon.es/maduro-Yunnan-0-22LB-Comida-%C3%81rboles/dp/B07G819RTT/ref=sr_1_9?__mk_es_ES=%C3%85M%C3%85%C5%BD%C3%95%C3%91&amp;dchild=1&amp;keywords=te+cha&amp;qid=1591629443&amp;sr=8-9</t>
  </si>
  <si>
    <t>https://www.amazon.es/Yunnan-Pu-erh-0-22LB-Tortas-%C3%81rboles/dp/B07GCK6GXM/ref=sr_1_10?__mk_es_ES=%C3%85M%C3%85%C5%BD%C3%95%C3%91&amp;dchild=1&amp;keywords=te+cha&amp;qid=1591629443&amp;sr=8-10</t>
  </si>
  <si>
    <t>https://www.amazon.es/%EF%BC%880-121LB%EF%BC%89-maduro-Ladrillo-plateado-saludable/dp/B07YP3754K/ref=sr_1_14?__mk_es_ES=%C3%85M%C3%85%C5%BD%C3%95%C3%91&amp;dchild=1&amp;keywords=te+chino&amp;qid=1591630621&amp;sr=8-14</t>
  </si>
  <si>
    <t>https://www.amazon.es/aceite-calidad-Oolong-fresco-efectivo/dp/B07FR241ZK/ref=sr_1_22?__mk_es_ES=%C3%85M%C3%85%C5%BD%C3%95%C3%91&amp;dchild=1&amp;keywords=te+chino&amp;qid=1591630621&amp;sr=8-22</t>
  </si>
  <si>
    <t>https://www.amazon.es/Astragalus-membranaceus-Rebanadas-Perfumado-Saludable/dp/B07TXV1QR7/ref=sr_1_25?__mk_es_ES=%C3%85M%C3%85%C5%BD%C3%95%C3%91&amp;dchild=1&amp;keywords=te%2Bchino&amp;qid=1591630621&amp;sr=8-25&amp;th=1</t>
  </si>
  <si>
    <t>https://www.amazon.es/Fujian-Maofeng-verde-granel-cosecha/dp/B0788B56W3/ref=sr_1_7?__mk_es_ES=%C3%85M%C3%85%C5%BD%C3%95%C3%91&amp;dchild=1&amp;keywords=te+chino+100&amp;qid=1591630795&amp;quartzVehicle=95-1833&amp;refinements=p_85%3A831314031&amp;replacementKeywords=te+chino&amp;rnid=831276031&amp;rps=1&amp;sr=8-7</t>
  </si>
  <si>
    <t>https://www.amazon.es/antiguo-adelgazar-natural-alimentos-%C3%81rboles/dp/B077Z63T5W/ref=sr_1_35?__mk_es_ES=%C3%85M%C3%85%C5%BD%C3%95%C3%91&amp;dchild=1&amp;keywords=te+chino+100&amp;qid=1591630818&amp;quartzVehicle=95-1833&amp;replacementKeywords=te+chino&amp;rnid=831276031&amp;sr=8-35</t>
  </si>
  <si>
    <t>Formato</t>
  </si>
  <si>
    <t>chino herbal tea</t>
  </si>
  <si>
    <t>chino Fujian maofeng verde</t>
  </si>
  <si>
    <t>chino oolong negro</t>
  </si>
  <si>
    <t>chino oolong tieguanyin</t>
  </si>
  <si>
    <t>chino oolong verde</t>
  </si>
  <si>
    <t>chino puer rojo</t>
  </si>
  <si>
    <t>chino puer rojo bola</t>
  </si>
  <si>
    <t>chino puer rojo verde</t>
  </si>
  <si>
    <t>chino puer verde bola</t>
  </si>
  <si>
    <t>x</t>
  </si>
  <si>
    <t>chino puer rojo verde bola</t>
  </si>
  <si>
    <t>https://www.amazon.es/Gorreana-Organic-Orange-Islands-Portugal/dp/B004S0RRCW/ref=sr_1_2?__mk_es_ES=%C3%85M%C3%85%C5%BD%C3%95%C3%91&amp;dchild=1&amp;keywords=orange%2Bpekoe&amp;qid=1591633412&amp;sr=8-2&amp;th=1</t>
  </si>
  <si>
    <t>x 17-jun-1-jul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</si>
</sst>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_-* #,##0.000\ &quot;€&quot;_-;\-* #,##0.0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0" borderId="0" xfId="2"/>
    <xf numFmtId="44" fontId="0" fillId="0" borderId="0" xfId="0" applyNumberFormat="1"/>
    <xf numFmtId="44" fontId="0" fillId="0" borderId="0" xfId="1" applyNumberFormat="1" applyFont="1"/>
    <xf numFmtId="168" fontId="0" fillId="0" borderId="0" xfId="0" applyNumberForma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Hibisco-para-Infusi%C3%B3n-P%C3%A9talos-Enteros/dp/B07T4T58R6/ref=sr_1_124?__mk_es_ES=%C3%85M%C3%85%C5%BD%C3%95%C3%91&amp;dchild=1&amp;keywords=petalos+hibisco&amp;qid=1591625901&amp;sr=8-124" TargetMode="External"/><Relationship Id="rId13" Type="http://schemas.openxmlformats.org/officeDocument/2006/relationships/hyperlink" Target="https://www.amazon.es/Directo-f%C3%A1brica-Tieguanyin-Tikuanyin-adelgazante/dp/B07FQPCX1D/ref=sr_1_35?__mk_es_ES=%C3%85M%C3%85%C5%BD%C3%95%C3%91&amp;dchild=1&amp;keywords=te+chino&amp;qid=1591629891&amp;sr=8-35" TargetMode="External"/><Relationship Id="rId18" Type="http://schemas.openxmlformats.org/officeDocument/2006/relationships/hyperlink" Target="https://www.amazon.es/aceite-calidad-Oolong-fresco-efectivo/dp/B07FR241ZK/ref=sr_1_22?__mk_es_ES=%C3%85M%C3%85%C5%BD%C3%95%C3%91&amp;dchild=1&amp;keywords=te+chino&amp;qid=1591630621&amp;sr=8-22" TargetMode="External"/><Relationship Id="rId3" Type="http://schemas.openxmlformats.org/officeDocument/2006/relationships/hyperlink" Target="https://www.ebay.es/itm/401054727272" TargetMode="External"/><Relationship Id="rId21" Type="http://schemas.openxmlformats.org/officeDocument/2006/relationships/hyperlink" Target="https://www.amazon.es/antiguo-adelgazar-natural-alimentos-%C3%81rboles/dp/B077Z63T5W/ref=sr_1_35?__mk_es_ES=%C3%85M%C3%85%C5%BD%C3%95%C3%91&amp;dchild=1&amp;keywords=te+chino+100&amp;qid=1591630818&amp;quartzVehicle=95-1833&amp;replacementKeywords=te+chino&amp;rnid=831276031&amp;sr=8-35" TargetMode="External"/><Relationship Id="rId7" Type="http://schemas.openxmlformats.org/officeDocument/2006/relationships/hyperlink" Target="https://www.amazon.es/N%C3%BAm-1224-hierbas-Para%C3%ADso-limoncillo/dp/B071J6KPWC/ref=sr_1_49_sspa?__mk_es_ES=%C3%85M%C3%85%C5%BD%C3%95%C3%91&amp;dchild=1&amp;keywords=petalos+hibisco&amp;qid=1591625869&amp;sr=8-49-spons&amp;psc=1&amp;spLa=ZW5jcnlwdGVkUXVhbGlmaWVyPUExV0FYQzlGSVdJQllZJmVuY3J5cHRlZElkPUExMDE5MDk2VU43TVU5WUlDQzBIJmVuY3J5cHRlZEFkSWQ9QTA1NTE4NTAzMjU5R1JPRTk3SUpXJndpZGdldE5hbWU9c3BfYXRmX25leHQmYWN0aW9uPWNsaWNrUmVkaXJlY3QmZG9Ob3RMb2dDbGljaz10cnVl" TargetMode="External"/><Relationship Id="rId12" Type="http://schemas.openxmlformats.org/officeDocument/2006/relationships/hyperlink" Target="https://www.amazon.es/0-22LB-Premium-Menghai-org%C3%A1nico-%C3%A1rboles/dp/B07GCLWGBJ/ref=sr_1_28?__mk_es_ES=%C3%85M%C3%85%C5%BD%C3%95%C3%91&amp;dchild=1&amp;keywords=te+chino&amp;qid=1591629891&amp;sr=8-28" TargetMode="External"/><Relationship Id="rId17" Type="http://schemas.openxmlformats.org/officeDocument/2006/relationships/hyperlink" Target="https://www.amazon.es/%EF%BC%880-121LB%EF%BC%89-maduro-Ladrillo-plateado-saludable/dp/B07YP3754K/ref=sr_1_14?__mk_es_ES=%C3%85M%C3%85%C5%BD%C3%95%C3%91&amp;dchild=1&amp;keywords=te+chino&amp;qid=1591630621&amp;sr=8-14" TargetMode="External"/><Relationship Id="rId2" Type="http://schemas.openxmlformats.org/officeDocument/2006/relationships/hyperlink" Target="https://www.ebay.es/itm/250gr-Te-Negro-Naranja-Pekoe-Ceylon-Op-/362746895789?_trksid=p2385738.m4383.l4275.c10" TargetMode="External"/><Relationship Id="rId16" Type="http://schemas.openxmlformats.org/officeDocument/2006/relationships/hyperlink" Target="https://www.amazon.es/Yunnan-Pu-erh-0-22LB-Tortas-%C3%81rboles/dp/B07GCK6GXM/ref=sr_1_10?__mk_es_ES=%C3%85M%C3%85%C5%BD%C3%95%C3%91&amp;dchild=1&amp;keywords=te+cha&amp;qid=1591629443&amp;sr=8-10" TargetMode="External"/><Relationship Id="rId20" Type="http://schemas.openxmlformats.org/officeDocument/2006/relationships/hyperlink" Target="https://www.amazon.es/Fujian-Maofeng-verde-granel-cosecha/dp/B0788B56W3/ref=sr_1_7?__mk_es_ES=%C3%85M%C3%85%C5%BD%C3%95%C3%91&amp;dchild=1&amp;keywords=te+chino+100&amp;qid=1591630795&amp;quartzVehicle=95-1833&amp;refinements=p_85%3A831314031&amp;replacementKeywords=te+chino&amp;rnid=831276031&amp;rps=1&amp;sr=8-7" TargetMode="External"/><Relationship Id="rId1" Type="http://schemas.openxmlformats.org/officeDocument/2006/relationships/hyperlink" Target="https://www.ebay.es/itm/250gr-Te-Negro-Naranja-Pekoe-Ceylon-Op-/362746895789?_trksid=p2385738.m4383.l4275.c10" TargetMode="External"/><Relationship Id="rId6" Type="http://schemas.openxmlformats.org/officeDocument/2006/relationships/hyperlink" Target="https://www.amazon.es/Hibisco-para-Infusi%C3%B3n-P%C3%A9talos-Enteros/dp/B07XT8P8Y7/ref=sr_1_13?__mk_es_ES=%C3%85M%C3%85%C5%BD%C3%95%C3%91&amp;dchild=1&amp;keywords=petalos+hibisco&amp;qid=1591625861&amp;sr=8-13" TargetMode="External"/><Relationship Id="rId11" Type="http://schemas.openxmlformats.org/officeDocument/2006/relationships/hyperlink" Target="https://www.amazon.es/0-55LB-superior-TiKuanYin-Tieguanyin-adelgaza/dp/B07FPB3QPD/ref=sr_1_13?__mk_es_ES=%C3%85M%C3%85%C5%BD%C3%95%C3%91&amp;dchild=1&amp;keywords=te+chino&amp;qid=1591629891&amp;sr=8-13" TargetMode="External"/><Relationship Id="rId5" Type="http://schemas.openxmlformats.org/officeDocument/2006/relationships/hyperlink" Target="https://www.amazon.es/Hibisco-para-Infusi%C3%B3n-P%C3%A9talos-Enteros/dp/B07XT8P8Y7/ref=sr_1_13?__mk_es_ES=%C3%85M%C3%85%C5%BD%C3%95%C3%91&amp;dchild=1&amp;keywords=petalos+hibisco&amp;qid=1591625861&amp;sr=8-13" TargetMode="External"/><Relationship Id="rId15" Type="http://schemas.openxmlformats.org/officeDocument/2006/relationships/hyperlink" Target="https://www.amazon.es/maduro-Yunnan-0-22LB-Comida-%C3%81rboles/dp/B07G819RTT/ref=sr_1_9?__mk_es_ES=%C3%85M%C3%85%C5%BD%C3%95%C3%91&amp;dchild=1&amp;keywords=te+cha&amp;qid=1591629443&amp;sr=8-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es/N%C3%BAm-1142-Est%C3%ADmulo-sueltas-mosqueta/dp/B071SKT8XF/ref=sr_1_10?__mk_es_ES=%C3%85M%C3%85%C5%BD%C3%95%C3%91&amp;dchild=1&amp;keywords=hoja%2Bmalva&amp;qid=1591628245&amp;sr=8-10&amp;th=1" TargetMode="External"/><Relationship Id="rId19" Type="http://schemas.openxmlformats.org/officeDocument/2006/relationships/hyperlink" Target="https://www.amazon.es/Astragalus-membranaceus-Rebanadas-Perfumado-Saludable/dp/B07TXV1QR7/ref=sr_1_25?__mk_es_ES=%C3%85M%C3%85%C5%BD%C3%95%C3%91&amp;dchild=1&amp;keywords=te%2Bchino&amp;qid=1591630621&amp;sr=8-25&amp;th=1" TargetMode="External"/><Relationship Id="rId4" Type="http://schemas.openxmlformats.org/officeDocument/2006/relationships/hyperlink" Target="https://www.ebay.es/itm/500gr-Te-Negro-Naranja-Pekoe-Ceylon-Op-/254537511507?_trksid=p2385738.m4383.l4275.c10" TargetMode="External"/><Relationship Id="rId9" Type="http://schemas.openxmlformats.org/officeDocument/2006/relationships/hyperlink" Target="https://www.amazon.es/Cardamomo-en-Polvo-SPICESontheWEB-50g/dp/B00OBRYAMC/ref=sr_1_9?__mk_es_ES=%C3%85M%C3%85%C5%BD%C3%95%C3%91&amp;dchild=1&amp;keywords=cardamomo&amp;qid=1591627771&amp;sr=8-9&amp;th=1" TargetMode="External"/><Relationship Id="rId14" Type="http://schemas.openxmlformats.org/officeDocument/2006/relationships/hyperlink" Target="https://www.amazon.es/Pu-erh-cucinato-maturo-vecchi-alberi/dp/B07G722K22/ref=sr_1_8?__mk_es_ES=%C3%85M%C3%85%C5%BD%C3%95%C3%91&amp;dchild=1&amp;keywords=te+cha&amp;qid=1591629443&amp;sr=8-8" TargetMode="External"/><Relationship Id="rId22" Type="http://schemas.openxmlformats.org/officeDocument/2006/relationships/hyperlink" Target="https://www.amazon.es/Gorreana-Organic-Orange-Islands-Portugal/dp/B004S0RRCW/ref=sr_1_2?__mk_es_ES=%C3%85M%C3%85%C5%BD%C3%95%C3%91&amp;dchild=1&amp;keywords=orange%2Bpekoe&amp;qid=1591633412&amp;sr=8-2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16DD-E0EF-4FE1-BCAF-C6D68E84385E}">
  <dimension ref="A1:J25"/>
  <sheetViews>
    <sheetView tabSelected="1" workbookViewId="0">
      <selection activeCell="A21" sqref="A18:A21"/>
    </sheetView>
  </sheetViews>
  <sheetFormatPr baseColWidth="10" defaultRowHeight="15" x14ac:dyDescent="0.25"/>
  <cols>
    <col min="1" max="1" width="25.85546875" bestFit="1" customWidth="1"/>
    <col min="2" max="2" width="13.42578125" customWidth="1"/>
    <col min="3" max="3" width="13.42578125" bestFit="1" customWidth="1"/>
    <col min="6" max="6" width="14.85546875" bestFit="1" customWidth="1"/>
    <col min="7" max="7" width="14.7109375" bestFit="1" customWidth="1"/>
    <col min="8" max="9" width="14.7109375" customWidth="1"/>
  </cols>
  <sheetData>
    <row r="1" spans="1:10" s="1" customFormat="1" x14ac:dyDescent="0.25">
      <c r="A1" s="1" t="s">
        <v>4</v>
      </c>
      <c r="B1" s="1" t="s">
        <v>36</v>
      </c>
      <c r="C1" s="1" t="s">
        <v>2</v>
      </c>
      <c r="D1" s="1" t="s">
        <v>1</v>
      </c>
      <c r="E1" s="1" t="s">
        <v>5</v>
      </c>
      <c r="F1" s="1" t="s">
        <v>7</v>
      </c>
      <c r="G1" s="1" t="s">
        <v>8</v>
      </c>
      <c r="I1" s="1" t="s">
        <v>9</v>
      </c>
      <c r="J1" t="s">
        <v>3</v>
      </c>
    </row>
    <row r="2" spans="1:10" x14ac:dyDescent="0.25">
      <c r="A2" t="s">
        <v>21</v>
      </c>
      <c r="B2" t="s">
        <v>22</v>
      </c>
      <c r="C2">
        <v>50</v>
      </c>
      <c r="D2" s="2">
        <v>4.49</v>
      </c>
      <c r="E2" s="2">
        <v>10.49</v>
      </c>
      <c r="F2" s="6">
        <f>(D2+E2)/C2</f>
        <v>0.29960000000000003</v>
      </c>
      <c r="G2" s="5">
        <f>F2*1000</f>
        <v>299.60000000000002</v>
      </c>
      <c r="H2" s="5"/>
      <c r="I2" s="5">
        <f>F2*C2</f>
        <v>14.980000000000002</v>
      </c>
      <c r="J2" s="3" t="s">
        <v>23</v>
      </c>
    </row>
    <row r="3" spans="1:10" x14ac:dyDescent="0.25">
      <c r="A3" t="s">
        <v>38</v>
      </c>
      <c r="C3">
        <v>100</v>
      </c>
      <c r="D3" s="2">
        <v>5.5</v>
      </c>
      <c r="E3" s="2">
        <v>0</v>
      </c>
      <c r="F3" s="6">
        <f>(D3+E3)/C3</f>
        <v>5.5E-2</v>
      </c>
      <c r="G3" s="5">
        <f>F3*1000</f>
        <v>55</v>
      </c>
      <c r="H3" s="5"/>
      <c r="I3" s="5">
        <f>F3*C3</f>
        <v>5.5</v>
      </c>
      <c r="J3" s="3" t="s">
        <v>34</v>
      </c>
    </row>
    <row r="4" spans="1:10" x14ac:dyDescent="0.25">
      <c r="A4" t="s">
        <v>37</v>
      </c>
      <c r="C4">
        <v>50</v>
      </c>
      <c r="D4" s="2">
        <v>3</v>
      </c>
      <c r="E4" s="2">
        <v>0</v>
      </c>
      <c r="F4" s="6">
        <f>(D4+E4)/C4</f>
        <v>0.06</v>
      </c>
      <c r="G4" s="5">
        <f>F4*1000</f>
        <v>60</v>
      </c>
      <c r="H4" s="5"/>
      <c r="I4" s="5">
        <f>F4*C4</f>
        <v>3</v>
      </c>
      <c r="J4" s="3" t="s">
        <v>33</v>
      </c>
    </row>
    <row r="5" spans="1:10" x14ac:dyDescent="0.25">
      <c r="A5" t="s">
        <v>39</v>
      </c>
      <c r="C5">
        <v>50</v>
      </c>
      <c r="D5" s="2">
        <v>2.92</v>
      </c>
      <c r="E5" s="2">
        <v>0</v>
      </c>
      <c r="F5" s="6">
        <f>(D5+E5)/C5</f>
        <v>5.8400000000000001E-2</v>
      </c>
      <c r="G5" s="5">
        <f>F5*1000</f>
        <v>58.4</v>
      </c>
      <c r="H5" s="5" t="s">
        <v>46</v>
      </c>
      <c r="I5" s="5">
        <f>F5*C5</f>
        <v>2.92</v>
      </c>
      <c r="J5" s="3" t="s">
        <v>32</v>
      </c>
    </row>
    <row r="6" spans="1:10" x14ac:dyDescent="0.25">
      <c r="A6" t="s">
        <v>40</v>
      </c>
      <c r="C6">
        <v>250</v>
      </c>
      <c r="D6" s="2">
        <v>8.8000000000000007</v>
      </c>
      <c r="E6" s="2">
        <v>0</v>
      </c>
      <c r="F6" s="6">
        <f>(D6+E6)/C6</f>
        <v>3.5200000000000002E-2</v>
      </c>
      <c r="G6" s="5">
        <f>F6*1000</f>
        <v>35.200000000000003</v>
      </c>
      <c r="H6" s="5"/>
      <c r="I6" s="5">
        <f>F6*C6</f>
        <v>8.8000000000000007</v>
      </c>
      <c r="J6" s="3" t="s">
        <v>25</v>
      </c>
    </row>
    <row r="7" spans="1:10" x14ac:dyDescent="0.25">
      <c r="A7" t="s">
        <v>41</v>
      </c>
      <c r="C7">
        <v>250</v>
      </c>
      <c r="D7" s="2">
        <v>6.44</v>
      </c>
      <c r="E7" s="2">
        <v>0</v>
      </c>
      <c r="F7" s="6">
        <f>(D7+E7)/C7</f>
        <v>2.5760000000000002E-2</v>
      </c>
      <c r="G7" s="5">
        <f>F7*1000</f>
        <v>25.76</v>
      </c>
      <c r="H7" s="5"/>
      <c r="I7" s="5">
        <f>F7*C7</f>
        <v>6.44</v>
      </c>
      <c r="J7" s="3" t="s">
        <v>27</v>
      </c>
    </row>
    <row r="8" spans="1:10" x14ac:dyDescent="0.25">
      <c r="A8" t="s">
        <v>45</v>
      </c>
      <c r="C8">
        <v>100</v>
      </c>
      <c r="D8" s="2">
        <v>3.95</v>
      </c>
      <c r="E8" s="2">
        <v>0</v>
      </c>
      <c r="F8" s="6">
        <f>(D8+E8)/C8</f>
        <v>3.95E-2</v>
      </c>
      <c r="G8" s="5">
        <f>F8*1000</f>
        <v>39.5</v>
      </c>
      <c r="H8" s="5" t="s">
        <v>46</v>
      </c>
      <c r="I8" s="5">
        <f>F8*C8</f>
        <v>3.95</v>
      </c>
      <c r="J8" s="3" t="s">
        <v>28</v>
      </c>
    </row>
    <row r="9" spans="1:10" x14ac:dyDescent="0.25">
      <c r="A9" t="s">
        <v>47</v>
      </c>
      <c r="C9">
        <v>100</v>
      </c>
      <c r="D9" s="2">
        <v>4.4000000000000004</v>
      </c>
      <c r="E9" s="2">
        <v>0</v>
      </c>
      <c r="F9" s="6">
        <f>(D9+E9)/C9</f>
        <v>4.4000000000000004E-2</v>
      </c>
      <c r="G9" s="5">
        <f>F9*1000</f>
        <v>44.000000000000007</v>
      </c>
      <c r="H9" s="5" t="s">
        <v>46</v>
      </c>
      <c r="I9" s="5">
        <f>F9*C9</f>
        <v>4.4000000000000004</v>
      </c>
      <c r="J9" s="3" t="s">
        <v>29</v>
      </c>
    </row>
    <row r="10" spans="1:10" x14ac:dyDescent="0.25">
      <c r="A10" t="s">
        <v>45</v>
      </c>
      <c r="C10">
        <v>100</v>
      </c>
      <c r="D10" s="2">
        <v>4.47</v>
      </c>
      <c r="E10" s="2">
        <v>0</v>
      </c>
      <c r="F10" s="6">
        <f>(D10+E10)/C10</f>
        <v>4.4699999999999997E-2</v>
      </c>
      <c r="G10" s="5">
        <f>F10*1000</f>
        <v>44.699999999999996</v>
      </c>
      <c r="H10" s="5"/>
      <c r="I10" s="5">
        <f>F10*C10</f>
        <v>4.47</v>
      </c>
      <c r="J10" s="3" t="s">
        <v>30</v>
      </c>
    </row>
    <row r="11" spans="1:10" x14ac:dyDescent="0.25">
      <c r="A11" t="s">
        <v>44</v>
      </c>
      <c r="C11">
        <v>55</v>
      </c>
      <c r="D11" s="2">
        <v>2.4900000000000002</v>
      </c>
      <c r="E11" s="2">
        <v>0</v>
      </c>
      <c r="F11" s="6">
        <f>(D11+E11)/C11</f>
        <v>4.5272727272727277E-2</v>
      </c>
      <c r="G11" s="5">
        <f>F11*1000</f>
        <v>45.27272727272728</v>
      </c>
      <c r="H11" s="5"/>
      <c r="I11" s="5">
        <f>F11*C11</f>
        <v>2.4900000000000002</v>
      </c>
      <c r="J11" s="3" t="s">
        <v>31</v>
      </c>
    </row>
    <row r="12" spans="1:10" x14ac:dyDescent="0.25">
      <c r="A12" t="s">
        <v>42</v>
      </c>
      <c r="C12">
        <v>50</v>
      </c>
      <c r="D12" s="2">
        <v>3.41</v>
      </c>
      <c r="E12" s="2">
        <v>0</v>
      </c>
      <c r="F12" s="6">
        <f>(D12+E12)/C12</f>
        <v>6.8199999999999997E-2</v>
      </c>
      <c r="G12" s="5">
        <f>F12*1000</f>
        <v>68.2</v>
      </c>
      <c r="H12" s="5" t="s">
        <v>46</v>
      </c>
      <c r="I12" s="5">
        <f>F12*C12</f>
        <v>3.4099999999999997</v>
      </c>
      <c r="J12" s="3" t="s">
        <v>35</v>
      </c>
    </row>
    <row r="13" spans="1:10" x14ac:dyDescent="0.25">
      <c r="A13" t="s">
        <v>43</v>
      </c>
      <c r="C13">
        <v>100</v>
      </c>
      <c r="D13" s="2">
        <v>6.82</v>
      </c>
      <c r="E13" s="2">
        <v>0</v>
      </c>
      <c r="F13" s="6">
        <f>(D13+E13)/C13</f>
        <v>6.8199999999999997E-2</v>
      </c>
      <c r="G13" s="5">
        <f>F13*1000</f>
        <v>68.2</v>
      </c>
      <c r="H13" s="5"/>
      <c r="I13" s="5">
        <f>F13*C13</f>
        <v>6.8199999999999994</v>
      </c>
      <c r="J13" s="3" t="s">
        <v>26</v>
      </c>
    </row>
    <row r="14" spans="1:10" x14ac:dyDescent="0.25">
      <c r="A14" t="s">
        <v>14</v>
      </c>
      <c r="B14" t="s">
        <v>15</v>
      </c>
      <c r="C14">
        <v>1000</v>
      </c>
      <c r="D14" s="2">
        <v>9.9</v>
      </c>
      <c r="E14" s="2">
        <v>4.8</v>
      </c>
      <c r="F14" s="6">
        <f>(D14+E14)/C14</f>
        <v>1.47E-2</v>
      </c>
      <c r="G14" s="5">
        <f>F14*1000</f>
        <v>14.7</v>
      </c>
      <c r="H14" s="5"/>
      <c r="I14" s="5">
        <f>F14*C14</f>
        <v>14.7</v>
      </c>
      <c r="J14" s="3" t="s">
        <v>20</v>
      </c>
    </row>
    <row r="15" spans="1:10" x14ac:dyDescent="0.25">
      <c r="A15" t="s">
        <v>14</v>
      </c>
      <c r="B15" t="s">
        <v>15</v>
      </c>
      <c r="C15">
        <v>500</v>
      </c>
      <c r="D15" s="2">
        <v>8</v>
      </c>
      <c r="E15" s="2">
        <v>5.0999999999999996</v>
      </c>
      <c r="F15" s="6">
        <f>(D15+E15)/C15</f>
        <v>2.6199999999999998E-2</v>
      </c>
      <c r="G15" s="5">
        <f>F15*1000</f>
        <v>26.2</v>
      </c>
      <c r="H15" s="5"/>
      <c r="I15" s="5">
        <f>F15*C15</f>
        <v>13.1</v>
      </c>
      <c r="J15" s="3" t="s">
        <v>16</v>
      </c>
    </row>
    <row r="16" spans="1:10" x14ac:dyDescent="0.25">
      <c r="A16" t="s">
        <v>18</v>
      </c>
      <c r="B16" t="s">
        <v>15</v>
      </c>
      <c r="C16">
        <v>250</v>
      </c>
      <c r="D16" s="2">
        <v>14.49</v>
      </c>
      <c r="E16" s="2">
        <v>9.7799999999999994</v>
      </c>
      <c r="F16" s="6">
        <f>(D16+E16)/C16</f>
        <v>9.708E-2</v>
      </c>
      <c r="G16" s="5">
        <f>F16*1000</f>
        <v>97.08</v>
      </c>
      <c r="H16" s="5"/>
      <c r="I16" s="5">
        <f>F16*C16</f>
        <v>24.27</v>
      </c>
      <c r="J16" s="3" t="s">
        <v>19</v>
      </c>
    </row>
    <row r="17" spans="1:10" x14ac:dyDescent="0.25">
      <c r="A17" t="s">
        <v>18</v>
      </c>
      <c r="B17" t="s">
        <v>15</v>
      </c>
      <c r="C17">
        <v>100</v>
      </c>
      <c r="D17" s="2">
        <v>9.99</v>
      </c>
      <c r="E17" s="2">
        <v>0</v>
      </c>
      <c r="F17" s="6">
        <f>(D17+E17)/C17</f>
        <v>9.9900000000000003E-2</v>
      </c>
      <c r="G17" s="5">
        <f>F17*1000</f>
        <v>99.9</v>
      </c>
      <c r="H17" s="5" t="s">
        <v>46</v>
      </c>
      <c r="I17" s="5">
        <f>F17*C17</f>
        <v>9.99</v>
      </c>
      <c r="J17" s="3" t="s">
        <v>24</v>
      </c>
    </row>
    <row r="18" spans="1:10" x14ac:dyDescent="0.25">
      <c r="A18" t="s">
        <v>0</v>
      </c>
      <c r="B18" t="s">
        <v>15</v>
      </c>
      <c r="C18">
        <v>1000</v>
      </c>
      <c r="D18" s="2">
        <v>3.9</v>
      </c>
      <c r="E18" s="2">
        <v>20</v>
      </c>
      <c r="F18" s="6">
        <f>(D18+E18)/C18</f>
        <v>2.3899999999999998E-2</v>
      </c>
      <c r="G18" s="5">
        <f>F18*1000</f>
        <v>23.9</v>
      </c>
      <c r="H18" s="5"/>
      <c r="I18" s="5">
        <f>F18*C18</f>
        <v>23.9</v>
      </c>
      <c r="J18" s="3" t="s">
        <v>11</v>
      </c>
    </row>
    <row r="19" spans="1:10" x14ac:dyDescent="0.25">
      <c r="A19" t="s">
        <v>0</v>
      </c>
      <c r="B19" t="s">
        <v>15</v>
      </c>
      <c r="C19">
        <v>750</v>
      </c>
      <c r="D19" s="2">
        <v>16.68</v>
      </c>
      <c r="E19" s="2">
        <v>4.9000000000000004</v>
      </c>
      <c r="F19" s="6">
        <f>(D19+E19)/C19</f>
        <v>2.8773333333333331E-2</v>
      </c>
      <c r="G19" s="5">
        <f>F19*1000</f>
        <v>28.77333333333333</v>
      </c>
      <c r="H19" s="5"/>
      <c r="I19" s="5">
        <f>F19*C19</f>
        <v>21.58</v>
      </c>
      <c r="J19" s="3" t="s">
        <v>6</v>
      </c>
    </row>
    <row r="20" spans="1:10" x14ac:dyDescent="0.25">
      <c r="A20" t="s">
        <v>0</v>
      </c>
      <c r="B20" t="s">
        <v>15</v>
      </c>
      <c r="C20">
        <v>500</v>
      </c>
      <c r="D20" s="2">
        <v>11.12</v>
      </c>
      <c r="E20" s="2">
        <v>5.9</v>
      </c>
      <c r="F20" s="6">
        <f>(D20+E20)/C20</f>
        <v>3.4040000000000001E-2</v>
      </c>
      <c r="G20" s="5">
        <f>F20*1000</f>
        <v>34.04</v>
      </c>
      <c r="H20" s="5" t="s">
        <v>49</v>
      </c>
      <c r="I20" s="5">
        <f>F20*C20</f>
        <v>17.02</v>
      </c>
      <c r="J20" s="3" t="s">
        <v>6</v>
      </c>
    </row>
    <row r="21" spans="1:10" x14ac:dyDescent="0.25">
      <c r="A21" t="s">
        <v>0</v>
      </c>
      <c r="B21" t="s">
        <v>15</v>
      </c>
      <c r="C21">
        <v>500</v>
      </c>
      <c r="D21" s="2">
        <v>10.4</v>
      </c>
      <c r="E21" s="2">
        <v>8</v>
      </c>
      <c r="F21" s="6">
        <f>(D21+E21)/C21</f>
        <v>3.6799999999999999E-2</v>
      </c>
      <c r="G21" s="5">
        <f>F21*1000</f>
        <v>36.799999999999997</v>
      </c>
      <c r="H21" s="5"/>
      <c r="I21" s="5">
        <f>F21*C21</f>
        <v>18.399999999999999</v>
      </c>
      <c r="J21" s="3" t="s">
        <v>12</v>
      </c>
    </row>
    <row r="22" spans="1:10" x14ac:dyDescent="0.25">
      <c r="A22" t="s">
        <v>10</v>
      </c>
      <c r="B22" t="s">
        <v>17</v>
      </c>
      <c r="C22">
        <v>30</v>
      </c>
      <c r="D22" s="2">
        <v>0.65</v>
      </c>
      <c r="E22" s="2">
        <v>0</v>
      </c>
      <c r="F22" s="6">
        <f>(D22+E22)/C22</f>
        <v>2.1666666666666667E-2</v>
      </c>
      <c r="G22" s="5">
        <f>F22*1000</f>
        <v>21.666666666666668</v>
      </c>
      <c r="H22" s="5"/>
      <c r="I22" s="5">
        <f>F22*C22</f>
        <v>0.65</v>
      </c>
      <c r="J22" s="3" t="s">
        <v>13</v>
      </c>
    </row>
    <row r="23" spans="1:10" x14ac:dyDescent="0.25">
      <c r="A23" t="s">
        <v>14</v>
      </c>
      <c r="B23" t="s">
        <v>15</v>
      </c>
      <c r="C23">
        <v>250</v>
      </c>
      <c r="D23" s="2">
        <v>4</v>
      </c>
      <c r="E23" s="2">
        <v>4.8</v>
      </c>
      <c r="F23" s="6">
        <f>(D23+E23)/C23</f>
        <v>3.5200000000000002E-2</v>
      </c>
      <c r="G23" s="5">
        <f>F23*1000</f>
        <v>35.200000000000003</v>
      </c>
      <c r="H23" s="5" t="s">
        <v>46</v>
      </c>
      <c r="I23" s="5">
        <f>F23*C23</f>
        <v>8.8000000000000007</v>
      </c>
      <c r="J23" s="3" t="s">
        <v>16</v>
      </c>
    </row>
    <row r="24" spans="1:10" x14ac:dyDescent="0.25">
      <c r="A24" t="s">
        <v>0</v>
      </c>
      <c r="B24" t="s">
        <v>15</v>
      </c>
      <c r="C24">
        <v>100</v>
      </c>
      <c r="D24" s="2">
        <v>6.99</v>
      </c>
      <c r="E24" s="2">
        <v>0</v>
      </c>
      <c r="F24" s="6">
        <f>(D24+E24)/C24</f>
        <v>6.9900000000000004E-2</v>
      </c>
      <c r="G24" s="5">
        <f>F24*1000</f>
        <v>69.900000000000006</v>
      </c>
      <c r="I24" s="5">
        <f>F24*C24</f>
        <v>6.99</v>
      </c>
      <c r="J24" s="3" t="s">
        <v>48</v>
      </c>
    </row>
    <row r="25" spans="1:10" x14ac:dyDescent="0.25">
      <c r="C25" s="4"/>
      <c r="D25" s="2"/>
    </row>
  </sheetData>
  <autoFilter ref="A1:P24" xr:uid="{5A8108E6-113D-4C14-889B-87BF0F280F1E}">
    <sortState xmlns:xlrd2="http://schemas.microsoft.com/office/spreadsheetml/2017/richdata2" ref="A18:P21">
      <sortCondition ref="G1:G23"/>
    </sortState>
  </autoFilter>
  <sortState xmlns:xlrd2="http://schemas.microsoft.com/office/spreadsheetml/2017/richdata2" ref="A2:J22">
    <sortCondition ref="A2:A22"/>
    <sortCondition ref="G2:G22"/>
  </sortState>
  <hyperlinks>
    <hyperlink ref="J19" r:id="rId1" xr:uid="{8BB843BF-940F-4A3C-8F5D-D900C331734E}"/>
    <hyperlink ref="J20" r:id="rId2" xr:uid="{F3FCD991-9F26-4B00-BEEB-EF7081C7AB24}"/>
    <hyperlink ref="J18" r:id="rId3" xr:uid="{3A91AC90-2ED5-440F-9D6F-066B994A6FCD}"/>
    <hyperlink ref="J21" r:id="rId4" xr:uid="{9BFC332E-D421-46C6-98BB-42EFB937708E}"/>
    <hyperlink ref="J23" r:id="rId5" xr:uid="{6A7EEE76-FF4B-441F-AE1D-3CA235A2886B}"/>
    <hyperlink ref="J15" r:id="rId6" xr:uid="{38839074-610D-47D5-B9DC-85AAEF63883C}"/>
    <hyperlink ref="J16" r:id="rId7" display="https://www.amazon.es/N%C3%BAm-1224-hierbas-Para%C3%ADso-limoncillo/dp/B071J6KPWC/ref=sr_1_49_sspa?__mk_es_ES=%C3%85M%C3%85%C5%BD%C3%95%C3%91&amp;dchild=1&amp;keywords=petalos+hibisco&amp;qid=1591625869&amp;sr=8-49-spons&amp;psc=1&amp;spLa=ZW5jcnlwdGVkUXVhbGlmaWVyPUExV0FYQzlGSVdJQllZJmVuY3J5cHRlZElkPUExMDE5MDk2VU43TVU5WUlDQzBIJmVuY3J5cHRlZEFkSWQ9QTA1NTE4NTAzMjU5R1JPRTk3SUpXJndpZGdldE5hbWU9c3BfYXRmX25leHQmYWN0aW9uPWNsaWNrUmVkaXJlY3QmZG9Ob3RMb2dDbGljaz10cnVl" xr:uid="{EC1C859F-DC7D-4729-81CE-0B61FB24495D}"/>
    <hyperlink ref="J14" r:id="rId8" xr:uid="{1930668E-9C96-486B-8800-9F874550D08B}"/>
    <hyperlink ref="J2" r:id="rId9" xr:uid="{1DE48FD9-CF9D-4136-80CE-77FDF645E1ED}"/>
    <hyperlink ref="J17" r:id="rId10" xr:uid="{3DD43423-17AD-44F7-B946-E8FC8D1827E7}"/>
    <hyperlink ref="J6" r:id="rId11" xr:uid="{74582DF3-14EB-4F81-818F-0E3BB0A6732E}"/>
    <hyperlink ref="J13" r:id="rId12" xr:uid="{354D7E86-7401-49F6-9854-5F58332FD601}"/>
    <hyperlink ref="J7" r:id="rId13" xr:uid="{D2D28CFD-7C7B-4C77-B575-C58D1DB805CB}"/>
    <hyperlink ref="J8" r:id="rId14" xr:uid="{783AA6D7-D346-46DA-86CD-94250DCC1F33}"/>
    <hyperlink ref="J9" r:id="rId15" xr:uid="{0FAFBB85-3336-4034-A28F-E3228255F595}"/>
    <hyperlink ref="J10" r:id="rId16" xr:uid="{C20EA802-5350-4D4A-A78C-D2B931811931}"/>
    <hyperlink ref="J11" r:id="rId17" xr:uid="{E404AAFB-8A32-445A-B898-00ACABB864A9}"/>
    <hyperlink ref="J5" r:id="rId18" xr:uid="{D8152BB1-838C-413B-BDBA-87DAB31C4CE4}"/>
    <hyperlink ref="J4" r:id="rId19" xr:uid="{9F11940C-EA24-4922-9EA2-1969BFEDA6D3}"/>
    <hyperlink ref="J3" r:id="rId20" display="https://www.amazon.es/Fujian-Maofeng-verde-granel-cosecha/dp/B0788B56W3/ref=sr_1_7?__mk_es_ES=%C3%85M%C3%85%C5%BD%C3%95%C3%91&amp;dchild=1&amp;keywords=te+chino+100&amp;qid=1591630795&amp;quartzVehicle=95-1833&amp;refinements=p_85%3A831314031&amp;replacementKeywords=te+chino&amp;rnid=831276031&amp;rps=1&amp;sr=8-7" xr:uid="{AFDB6D35-3F16-4E36-B796-0B31A17D9FA3}"/>
    <hyperlink ref="J12" r:id="rId21" display="https://www.amazon.es/antiguo-adelgazar-natural-alimentos-%C3%81rboles/dp/B077Z63T5W/ref=sr_1_35?__mk_es_ES=%C3%85M%C3%85%C5%BD%C3%95%C3%91&amp;dchild=1&amp;keywords=te+chino+100&amp;qid=1591630818&amp;quartzVehicle=95-1833&amp;replacementKeywords=te+chino&amp;rnid=831276031&amp;sr=8-35" xr:uid="{A0AA394C-5774-473E-8B50-EE8458F2F037}"/>
    <hyperlink ref="J24" r:id="rId22" xr:uid="{C7CC3965-B9D0-43DF-A84B-D8D2967F1AA9}"/>
  </hyperlinks>
  <pageMargins left="0.7" right="0.7" top="0.75" bottom="0.75" header="0.3" footer="0.3"/>
  <pageSetup paperSize="9" orientation="portrait" horizontalDpi="0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Gabbs</dc:creator>
  <cp:lastModifiedBy>Gabbs</cp:lastModifiedBy>
  <dcterms:created xsi:type="dcterms:W3CDTF">2020-06-08T09:17:32Z</dcterms:created>
  <dcterms:modified xsi:type="dcterms:W3CDTF">2020-06-08T17:17:50Z</dcterms:modified>
</cp:coreProperties>
</file>